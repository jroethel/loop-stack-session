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jjrdar/create/loops/loop-stack-session/"/>
    </mc:Choice>
  </mc:AlternateContent>
  <xr:revisionPtr revIDLastSave="0" documentId="13_ncr:1_{CAA477E3-2998-4944-8A75-AEC354832E46}" xr6:coauthVersionLast="47" xr6:coauthVersionMax="47" xr10:uidLastSave="{00000000-0000-0000-0000-000000000000}"/>
  <bookViews>
    <workbookView xWindow="38400" yWindow="620" windowWidth="38400" windowHeight="23380" activeTab="1" xr2:uid="{00000000-000D-0000-FFFF-FFFF00000000}"/>
  </bookViews>
  <sheets>
    <sheet name="Loop skill routing" sheetId="1" r:id="rId1"/>
    <sheet name="Matt Pocock flow" sheetId="2" r:id="rId2"/>
  </sheets>
  <definedNames>
    <definedName name="_xlnm._FilterDatabase" localSheetId="0" hidden="1">'Loop skill routing'!$A$1:$H$32</definedName>
    <definedName name="_xlnm._FilterDatabase" localSheetId="1" hidden="1">'Matt Pocock flow'!$A$1:$I$46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</calcChain>
</file>

<file path=xl/sharedStrings.xml><?xml version="1.0" encoding="utf-8"?>
<sst xmlns="http://schemas.openxmlformats.org/spreadsheetml/2006/main" count="603" uniqueCount="324">
  <si>
    <t>Skill</t>
  </si>
  <si>
    <t>Step / role</t>
  </si>
  <si>
    <t>Description</t>
  </si>
  <si>
    <t>Best model</t>
  </si>
  <si>
    <t>Pinned?</t>
  </si>
  <si>
    <t>Best if unpinned</t>
  </si>
  <si>
    <t>Notes</t>
  </si>
  <si>
    <t>/loop-brainstorm</t>
  </si>
  <si>
    <t>1. Explore context</t>
  </si>
  <si>
    <t>Read files, docs, recent commits; findings feed the asset sweep</t>
  </si>
  <si>
    <t>Sonnet (Explore subagent)</t>
  </si>
  <si>
    <t>No (routable)</t>
  </si>
  <si>
    <t>-</t>
  </si>
  <si>
    <t>Mechanical read-only search; cheapest tier that reads reliably</t>
  </si>
  <si>
    <t>2. Three scope probes</t>
  </si>
  <si>
    <t>Trenchcoat check, meta-tooling probe, asset sweep</t>
  </si>
  <si>
    <t>Fable</t>
  </si>
  <si>
    <t>Session-bound</t>
  </si>
  <si>
    <t>Highest-leverage judgment in the skill; where missed implied options get caught</t>
  </si>
  <si>
    <t>3. Clarifying questions</t>
  </si>
  <si>
    <t>One-per-message questions; read pushback, park cascades</t>
  </si>
  <si>
    <t>Reading-the-user judgment; low token volume</t>
  </si>
  <si>
    <t>4. Propose approaches</t>
  </si>
  <si>
    <t>2-3 genuinely different approaches, trade-offs, recommendation</t>
  </si>
  <si>
    <t>Architecture-adjacent arbitration</t>
  </si>
  <si>
    <t>5-6. Write the brief</t>
  </si>
  <si>
    <t>Section-by-section presentation, then the brief file</t>
  </si>
  <si>
    <t>Opus</t>
  </si>
  <si>
    <t>Writing from already-made decisions; Fable session does it fine but Opus-grade work</t>
  </si>
  <si>
    <t>7. Self-review</t>
  </si>
  <si>
    <t>Placeholder scan, consistency, architecture scan, tag audit</t>
  </si>
  <si>
    <t>Checklist-driven review</t>
  </si>
  <si>
    <t>8-9. Gate + handoff</t>
  </si>
  <si>
    <t>User review, commit offer, pinned handoff to /loop-plan</t>
  </si>
  <si>
    <t>Any</t>
  </si>
  <si>
    <t>Mechanical</t>
  </si>
  <si>
    <t>/loop-plan</t>
  </si>
  <si>
    <t>1. Ingest</t>
  </si>
  <si>
    <t>Read brief and everything it points to; explore the codebase</t>
  </si>
  <si>
    <t>Fan-out exploration; conclusions return to session</t>
  </si>
  <si>
    <t>2. Resolve open questions</t>
  </si>
  <si>
    <t>Answer via codebase, decide in header, or ask the user</t>
  </si>
  <si>
    <t>Judgment with codebase grounding</t>
  </si>
  <si>
    <t>3. Decompose</t>
  </si>
  <si>
    <t>File map, task boundaries, dependency graph, exclusive ownership</t>
  </si>
  <si>
    <t>A missing depends-on edge is a race condition downstream; the one Fable-shaped step here</t>
  </si>
  <si>
    <t>4. Write the plan file</t>
  </si>
  <si>
    <t>Full plan with verbatim test code; bulk of the token spend</t>
  </si>
  <si>
    <t>Artifact bulk; why the session rec is Opus not Fable</t>
  </si>
  <si>
    <t>5. Self-review</t>
  </si>
  <si>
    <t>Coverage, placeholders, type consistency, loop-drive contract</t>
  </si>
  <si>
    <t>Checklist-driven</t>
  </si>
  <si>
    <t>6. Rubix review (2 lenses)</t>
  </si>
  <si>
    <t>Fresh-context impacted-professional read + cold craft read</t>
  </si>
  <si>
    <t>PINNED - skill text: 'read-only Opus subagents'</t>
  </si>
  <si>
    <t>Keep Opus for lens A; Fable for lens B on high-stakes plans; GLM as a cheap third lens</t>
  </si>
  <si>
    <t>Fresh context matters more than raw model strength; pin is reasonable</t>
  </si>
  <si>
    <t>7-8. Gate + handoff</t>
  </si>
  <si>
    <t>User review, commit offer, pinned routes</t>
  </si>
  <si>
    <t>/loop-which</t>
  </si>
  <si>
    <t>1. Get the plan</t>
  </si>
  <si>
    <t>Read plan/PRD, spot stapled-together seams</t>
  </si>
  <si>
    <t>Sonnet</t>
  </si>
  <si>
    <t>Reading comprehension</t>
  </si>
  <si>
    <t>2. Availability probe</t>
  </si>
  <si>
    <t>Tier questions + read ringer config.toml engines</t>
  </si>
  <si>
    <t>Haiku-tier</t>
  </si>
  <si>
    <t>Haiku</t>
  </si>
  <si>
    <t>Pure mechanics</t>
  </si>
  <si>
    <t>3. Score seven questions</t>
  </si>
  <si>
    <t>Size, independence, separation, checkability, judgment, access, payoff</t>
  </si>
  <si>
    <t>Arbitration but short and rarely a close call</t>
  </si>
  <si>
    <t>4. Reconcile with available</t>
  </si>
  <si>
    <t>Map ideal route onto real tooling, name mismatches</t>
  </si>
  <si>
    <t>Escalate session to Fable only when verdict is contested and setup cost is high</t>
  </si>
  <si>
    <t>5. Verdict + next-step artifact</t>
  </si>
  <si>
    <t>CHAT / ONE AGENT / TEAM / DON'T BOTHER + pasteable artifact</t>
  </si>
  <si>
    <t>Short output</t>
  </si>
  <si>
    <t>/loop-drive</t>
  </si>
  <si>
    <t>0. Route and scope</t>
  </si>
  <si>
    <t>Loop-which verdict, capability probe, topology sketch</t>
  </si>
  <si>
    <t>PINNED - skill design: 'single frontier-model session'</t>
  </si>
  <si>
    <t>Whole orchestrator session is one model; Fable is the design intent</t>
  </si>
  <si>
    <t>1. Extract skeleton</t>
  </si>
  <si>
    <t>Units, dependency/wave derivation, checkpoints, shared state</t>
  </si>
  <si>
    <t>Session-bound (frontier pin)</t>
  </si>
  <si>
    <t>Wave derivation from a flat PRD is real judgment</t>
  </si>
  <si>
    <t>2. Assign models/effort</t>
  </si>
  <si>
    <t>Evidence chain: posterior -&gt; prior -&gt; pin, per unit</t>
  </si>
  <si>
    <t>The arbitration core of the skill</t>
  </si>
  <si>
    <t>3. Neutralize hazards</t>
  </si>
  <si>
    <t>Worktrees, patch export, log split, per-transport footguns</t>
  </si>
  <si>
    <t>Mostly known-checklist application</t>
  </si>
  <si>
    <t>4. Convert prompts/specs</t>
  </si>
  <si>
    <t>Subagent briefs, manifest specs, check-writing (P14)</t>
  </si>
  <si>
    <t>Check quality decides run quality; Opus would suffice if it were routable</t>
  </si>
  <si>
    <t>5-6. Wave loop + emit plan</t>
  </si>
  <si>
    <t>Gates, distillation, MODEL-NOTES receipts, resume state, _loop.md</t>
  </si>
  <si>
    <t>Opus for the _loop.md writing; Fable for gates</t>
  </si>
  <si>
    <t>Gate attribution (check bug vs worker bug) is judgment</t>
  </si>
  <si>
    <t>7. Dashboard + launch</t>
  </si>
  <si>
    <t>Pre-flight, dry run, watch points, launch</t>
  </si>
  <si>
    <t>Mechanical once approved</t>
  </si>
  <si>
    <t>Implementers (typical)</t>
  </si>
  <si>
    <t>Per-unit work, test-first against acceptance criteria</t>
  </si>
  <si>
    <t>GLM via claude-zai (ringer)</t>
  </si>
  <si>
    <t>No - evidence chain governs; claude-zai is tie-break</t>
  </si>
  <si>
    <t>Flat-rate lane preserves Anthropic quota; posterior outranks this default</t>
  </si>
  <si>
    <t>Implementers (mechanical)</t>
  </si>
  <si>
    <t>Thin, well-referenced, or boilerplate units</t>
  </si>
  <si>
    <t>No - evidence chain governs</t>
  </si>
  <si>
    <t>Agent-tool transport when unit needs in-session tools</t>
  </si>
  <si>
    <t>Validators (native)</t>
  </si>
  <si>
    <t>Adversarial re-check vs artifacts; never fixes; verdict contract</t>
  </si>
  <si>
    <t>PINNED - skill text: 'Opus subagent' default</t>
  </si>
  <si>
    <t>Tier it: Sonnet for pure executed-check units; Opus for gate-critical; never same model as implementer</t>
  </si>
  <si>
    <t>See discussion in chat: false PASS is the expensive failure; cross-family independence when implementer is GLM</t>
  </si>
  <si>
    <t>Runtime escalation</t>
  </si>
  <si>
    <t>Unit failed validation twice; re-routed at the gate</t>
  </si>
  <si>
    <t>Pin, usually Opus</t>
  </si>
  <si>
    <t>Runtime pin (reason recorded)</t>
  </si>
  <si>
    <t>Not an automatic ladder</t>
  </si>
  <si>
    <t>Roster constraint</t>
  </si>
  <si>
    <t>Fable is orchestrator-tier only</t>
  </si>
  <si>
    <t>n/a</t>
  </si>
  <si>
    <t>PINNED - skill text: 'Fable is never a worker'</t>
  </si>
  <si>
    <t>Unchanged - correct pin</t>
  </si>
  <si>
    <t>Keeps frontier quota on judgment; aligned with managed CLAUDE.md block</t>
  </si>
  <si>
    <t>Where in /loop-*</t>
  </si>
  <si>
    <t>Differentiator vs /loop-*</t>
  </si>
  <si>
    <t>grill-with-docs</t>
  </si>
  <si>
    <t>Composite launcher</t>
  </si>
  <si>
    <t>2-line skill: run /grilling using /domain-modeling</t>
  </si>
  <si>
    <t>No pins anywhere</t>
  </si>
  <si>
    <t>Thin conductor over two skills</t>
  </si>
  <si>
    <t>Skill composition by reference; loop-brainstorm is a 237-line monolith</t>
  </si>
  <si>
    <t>grilling</t>
  </si>
  <si>
    <t>Interview loop</t>
  </si>
  <si>
    <t>One question at a time, wait for each answer; multiple at once is 'bewildering'</t>
  </si>
  <si>
    <t>brainstorm 3 (clarifying questions)</t>
  </si>
  <si>
    <t>Both enforce one-question-at-a-time</t>
  </si>
  <si>
    <t>Recommended answers</t>
  </si>
  <si>
    <t>Every question ships with the agent's recommended answer</t>
  </si>
  <si>
    <t>brainstorm 4 (partial - recs only at approach stage)</t>
  </si>
  <si>
    <t>A recommendation with every question, not just at the approach step</t>
  </si>
  <si>
    <t>Facts vs decisions</t>
  </si>
  <si>
    <t>Look up facts in the environment; only decisions go to the user</t>
  </si>
  <si>
    <t>Sonnet (lookup)</t>
  </si>
  <si>
    <t>brainstorm 1 (never ask what context answers)</t>
  </si>
  <si>
    <t>Shared principle, near-identical wording</t>
  </si>
  <si>
    <t>Shared-understanding gate</t>
  </si>
  <si>
    <t>Do not act until the user confirms shared understanding</t>
  </si>
  <si>
    <t>brainstorm 8 (user review gate)</t>
  </si>
  <si>
    <t>Gates on understanding; loop-brainstorm gates on the written artifact</t>
  </si>
  <si>
    <t>domain-modeling</t>
  </si>
  <si>
    <t>Glossary challenge</t>
  </si>
  <si>
    <t>Call out any term that conflicts with CONTEXT.md's existing definition</t>
  </si>
  <si>
    <t>Ubiquitous-language enforcement; loop-* has no glossary concept</t>
  </si>
  <si>
    <t>Sharpen fuzzy terms</t>
  </si>
  <si>
    <t>Propose a precise canonical term for vague or overloaded language</t>
  </si>
  <si>
    <t>brainstorm 7 (ambiguity check, partial)</t>
  </si>
  <si>
    <t>Canonical-term proposals vs a one-pass ambiguity sweep</t>
  </si>
  <si>
    <t>Scenario stress-tests</t>
  </si>
  <si>
    <t>Invent edge-case scenarios that force precision about concept boundaries</t>
  </si>
  <si>
    <t>Active edge-case invention during design conversation</t>
  </si>
  <si>
    <t>Code cross-reference</t>
  </si>
  <si>
    <t>Check whether the code agrees with what the user claims; surface contradictions</t>
  </si>
  <si>
    <t>brainstorm 1 (explore context, partial)</t>
  </si>
  <si>
    <t>Contradiction surfacing is the goal, not just context gathering</t>
  </si>
  <si>
    <t>Update CONTEXT.md inline</t>
  </si>
  <si>
    <t>Capture terms the moment they resolve; glossary only, no implementation detail</t>
  </si>
  <si>
    <t>Repo-persistent language across all sessions; CONTEXT-MAP for multi-context repos</t>
  </si>
  <si>
    <t>ADR discipline</t>
  </si>
  <si>
    <t>ADR only when hard-to-reverse AND surprising AND real trade-off; else skip</t>
  </si>
  <si>
    <t>brainstorm 4 (recorded rationale, partial)</t>
  </si>
  <si>
    <t>Rationale persists in the repo; loop-* records it per-brief only</t>
  </si>
  <si>
    <t>wayfinder</t>
  </si>
  <si>
    <t>Name the destination</t>
  </si>
  <si>
    <t>Grill + domain-model session to pin what the map is finding its way to</t>
  </si>
  <si>
    <t>Destination fixes scope</t>
  </si>
  <si>
    <t>brainstorm 3.1 (outcome question, partial)</t>
  </si>
  <si>
    <t>Planning larger than one context window - no loop-* equivalent</t>
  </si>
  <si>
    <t>Map the frontier</t>
  </si>
  <si>
    <t>Breadth-first grill fanning across the space; if no fog surfaces, stop - no map needed</t>
  </si>
  <si>
    <t>'No fog = no map' self-cancel check</t>
  </si>
  <si>
    <t>Create map + tickets</t>
  </si>
  <si>
    <t>Map issue (wayfinder:map) + child decision tickets; wire native blocking edges in a second pass</t>
  </si>
  <si>
    <t>Tracker mechanics + scoping judgment</t>
  </si>
  <si>
    <t>Shared map on issue tracker; frontier rendered visually in tracker UI</t>
  </si>
  <si>
    <t>Fire research subagents</t>
  </si>
  <si>
    <t>Parallel AFK /research subagents; findings on throwaway research/ branches with context pointers</t>
  </si>
  <si>
    <t>brainstorm 1 / plan 1 (Explore dispatch, partial)</t>
  </si>
  <si>
    <t>HITL vs AFK ticket typing; findings parked on branches, linked not pasted</t>
  </si>
  <si>
    <t>Work a ticket</t>
  </si>
  <si>
    <t>Claim via assignee, resolve with the skill the type names, answer as resolution comment, close</t>
  </si>
  <si>
    <t>Varies by ticket type</t>
  </si>
  <si>
    <t>grilling=Fable, research=Sonnet</t>
  </si>
  <si>
    <t>One ticket per session, hard rule</t>
  </si>
  <si>
    <t>Claim semantics for concurrent sessions; one-ticket-per-session discipline</t>
  </si>
  <si>
    <t>Graduate the fog</t>
  </si>
  <si>
    <t>New tickets from what answers made specifiable; rule mis-scoped tickets out of scope</t>
  </si>
  <si>
    <t>Fog-of-war deliberate incompleteness; loop-plan demands full decomposition up front</t>
  </si>
  <si>
    <t>to-spec</t>
  </si>
  <si>
    <t>Explore repo</t>
  </si>
  <si>
    <t>Understand current state; use glossary vocabulary; respect ADRs in the area</t>
  </si>
  <si>
    <t>plan 1 (ingest)</t>
  </si>
  <si>
    <t>Sketch test seams</t>
  </si>
  <si>
    <t>Fewest and highest seams possible (ideal is one); confirm with the user before writing</t>
  </si>
  <si>
    <t>brainstorm 3.4 (seams - but decomposition seams, not test seams)</t>
  </si>
  <si>
    <t>Seam negotiation before the spec; testing strategy as first-class spec content</t>
  </si>
  <si>
    <t>Write + publish spec</t>
  </si>
  <si>
    <t>User stories, implementation + testing decisions; publish to tracker with ready-for-agent label</t>
  </si>
  <si>
    <t>brainstorm 5-6 (brief is the rough counterpart)</t>
  </si>
  <si>
    <t>NO interview - pure synthesis; bans file paths/code as staleness risk; tracker not docs/</t>
  </si>
  <si>
    <t>to-tickets</t>
  </si>
  <si>
    <t>Gather context</t>
  </si>
  <si>
    <t>Work from conversation; fetch any referenced spec/issue with full body and comments</t>
  </si>
  <si>
    <t>Spot prefactors</t>
  </si>
  <si>
    <t>'Make the change easy, then make the easy change'; prefactoring tickets go first</t>
  </si>
  <si>
    <t>Prefactoring as an explicit decomposition step</t>
  </si>
  <si>
    <t>Draft tracer-bullet slices</t>
  </si>
  <si>
    <t>Vertical slices through every layer, each demoable and sized to one fresh context window, with blocking edges</t>
  </si>
  <si>
    <t>plan 3 (decompose)</t>
  </si>
  <si>
    <t>Vertical demoable slices vs loop-plan's file-ownership tasks; bans file paths - opposite of loop-plan's exact-path mandate</t>
  </si>
  <si>
    <t>Expand-contract</t>
  </si>
  <si>
    <t>Wide refactors: expand beside old, migrate in blast-radius batches, contract; integration-branch fallback</t>
  </si>
  <si>
    <t>Named pattern for blast-radius refactors; loop-plan has no answer for these</t>
  </si>
  <si>
    <t>Quiz the user</t>
  </si>
  <si>
    <t>Present breakdown; iterate granularity, blocking edges, merge/split until approved</t>
  </si>
  <si>
    <t>plan 7 (user gate, partial)</t>
  </si>
  <si>
    <t>Interactive granularity negotiation; loop-plan self-reviews then asks once</t>
  </si>
  <si>
    <t>Publish tickets</t>
  </si>
  <si>
    <t>One issue/file per ticket in dependency order; ready-for-agent label; work the frontier</t>
  </si>
  <si>
    <t>plan 4 (write plan file)</t>
  </si>
  <si>
    <t>Tickets agent-grabbable on the tracker; fresh context per ticket</t>
  </si>
  <si>
    <t>implement</t>
  </si>
  <si>
    <t>Read spec/tickets</t>
  </si>
  <si>
    <t>Load the work described in the spec or tickets</t>
  </si>
  <si>
    <t>drive 4 (implementer prompt reading list)</t>
  </si>
  <si>
    <t>TDD at pre-agreed seams</t>
  </si>
  <si>
    <t>Red-green vertical slices via /tdd; this is the implementer-tier work</t>
  </si>
  <si>
    <t>GLM/Sonnet</t>
  </si>
  <si>
    <t>No (routable per ticket)</t>
  </si>
  <si>
    <t>In loop-* terms this session IS the implementer</t>
  </si>
  <si>
    <t>drive 2 (implementer tier)</t>
  </si>
  <si>
    <t>9-line hub composing /tdd + /code-review; single accountable session, no validator split</t>
  </si>
  <si>
    <t>Test cadence</t>
  </si>
  <si>
    <t>Typecheck + single test files regularly; full suite once at the end</t>
  </si>
  <si>
    <t>plan 4 (task steps, partial)</t>
  </si>
  <si>
    <t>Explicit test-cadence economy rule</t>
  </si>
  <si>
    <t>Review + commit</t>
  </si>
  <si>
    <t>Run /code-review on the work, then commit to the current branch</t>
  </si>
  <si>
    <t>drive 2 (validator tier, partial - criteria only)</t>
  </si>
  <si>
    <t>Review chained into 'done'; loop-drive uses a separate validator agent instead</t>
  </si>
  <si>
    <t>code-review</t>
  </si>
  <si>
    <t>Pin the fixed point</t>
  </si>
  <si>
    <t>Resolve the ref, three-dot diff vs merge-base, fail fast on bad ref or empty diff</t>
  </si>
  <si>
    <t>Haiku/Sonnet</t>
  </si>
  <si>
    <t>drive 5 (gate diff reading, partial)</t>
  </si>
  <si>
    <t>Fail-fast ref validation before spawning agents</t>
  </si>
  <si>
    <t>Find the spec source</t>
  </si>
  <si>
    <t>Commit-message issue refs -&gt; tracker fetch -&gt; user arg -&gt; docs/specs -&gt; ask</t>
  </si>
  <si>
    <t>Spec auto-discovery from the commit trail</t>
  </si>
  <si>
    <t>Standards subagent</t>
  </si>
  <si>
    <t>Repo standards + fixed 12-smell Fowler baseline; repo overrides baseline; judgment-call labelling</t>
  </si>
  <si>
    <t>Structural pin: parallel fresh general-purpose subagent (model free)</t>
  </si>
  <si>
    <t>Code-quality axis with Fowler smell baseline; loop-drive validators never assess code quality</t>
  </si>
  <si>
    <t>Spec subagent</t>
  </si>
  <si>
    <t>Missing/partial requirements, scope creep, implemented-but-wrong; quotes spec lines</t>
  </si>
  <si>
    <t>Structural pin: parallel fresh subagent (model free)</t>
  </si>
  <si>
    <t>drive 4 (validator criterion walk + scope audit, partial)</t>
  </si>
  <si>
    <t>Scope-creep detection as a named review target</t>
  </si>
  <si>
    <t>Aggregate</t>
  </si>
  <si>
    <t>Two reports side by side, deliberately never merged or reranked; per-axis worst only</t>
  </si>
  <si>
    <t>drive 5 (gate, partial)</t>
  </si>
  <si>
    <t>Two-axis no-rerank discipline vs loop-drive's single pass/fail verdict</t>
  </si>
  <si>
    <t>tdd</t>
  </si>
  <si>
    <t>Agree seams</t>
  </si>
  <si>
    <t>Write down the public boundaries under test; confirm with user; no test at an unconfirmed seam</t>
  </si>
  <si>
    <t>Pre-agreed seam gate; loop-plan pre-writes verbatim tests with no seam negotiation</t>
  </si>
  <si>
    <t>Red-green slices</t>
  </si>
  <si>
    <t>One test -&gt; one minimal implementation -&gt; repeat; tracer bullets, never horizontal</t>
  </si>
  <si>
    <t>plan 4 (task steps 1-4 are red-green)</t>
  </si>
  <si>
    <t>Anti-pattern policing</t>
  </si>
  <si>
    <t>Reject tautological, implementation-coupled, horizontal-sliced tests</t>
  </si>
  <si>
    <t>Test-quality doctrine (tautology rule, mocking guide); loop-* has no test-quality reference</t>
  </si>
  <si>
    <t>Defer refactoring</t>
  </si>
  <si>
    <t>Refactoring belongs to the review stage, not the red-green loop</t>
  </si>
  <si>
    <t>Refactoring formally relocated out of the implementation loop</t>
  </si>
  <si>
    <t>prototype</t>
  </si>
  <si>
    <t>Pick the branch</t>
  </si>
  <si>
    <t>Logic question -&gt; terminal app; UI question -&gt; variant explorer; wrong pick wastes the prototype</t>
  </si>
  <si>
    <t>A prototyping stage exists at all - loop-brief forbids architecture, loop-plan forbids code, nothing sits between</t>
  </si>
  <si>
    <t>Logic prototype</t>
  </si>
  <si>
    <t>Tiny interactive terminal app pushing the state machine through hard-to-reason cases</t>
  </si>
  <si>
    <t>Sonnet/GLM</t>
  </si>
  <si>
    <t>Full state printed after every action</t>
  </si>
  <si>
    <t>UI variants</t>
  </si>
  <si>
    <t>Radically different variations on one route, URL-param switchable with floating bar</t>
  </si>
  <si>
    <t>Taste flag applies</t>
  </si>
  <si>
    <t>Multi-variant switcher pattern for taste decisions</t>
  </si>
  <si>
    <t>Capture</t>
  </si>
  <si>
    <t>Fold validated decision into real code; commit prototype to throwaway branch with context pointer</t>
  </si>
  <si>
    <t>Prototype kept as a primary source; main keeps only the decision</t>
  </si>
  <si>
    <t>handoff</t>
  </si>
  <si>
    <t>Compact conversation</t>
  </si>
  <si>
    <t>Handoff doc in OS temp dir (not workspace) so a fresh agent can continue</t>
  </si>
  <si>
    <t>drive 5-6 (resume prompt, partial - drive runs only)</t>
  </si>
  <si>
    <t>Generic session-to-session continuity for any work</t>
  </si>
  <si>
    <t>Dedupe, redact, suggest</t>
  </si>
  <si>
    <t>Reference existing artifacts by path, never duplicate; redact secrets; suggested-skills section</t>
  </si>
  <si>
    <t>Secrets redaction + suggested-skills for the next agent</t>
  </si>
  <si>
    <t xml:space="preserve">  What the Where column makes visible at a glance:
  - grilling maps almost 1:1 onto loop-brainstorm (steps 1, 3, 4, 8) - the interview core is the same machine. The one clean delta: a recommended answer rides
  with every question, not just the approach step.
  - domain-modeling is mostly blank - the glossary/ADR/scenario layer is genuinely new territory, not a variant of something you have.
  - The blank clusters are wayfinder's map machinery, prototype (entirely blank), tdd's seam-and-doctrine layer, and code-review's standards axis - the same
  four gaps the comparison dump flagged, now visible as empty cells.
  - Both plan-4 mappings point the same direction: Matt runs red-green at execution time against negotiated seams; loop-plan bakes the red-green into
  pre-written task steps at planning time. Same loop, different owner.</t>
  </si>
  <si>
    <t>ACTION</t>
  </si>
  <si>
    <t>Discuss</t>
  </si>
  <si>
    <t>If Opus does this, would Fable catch misses if launched as a reviwer (self or rubix?)</t>
  </si>
  <si>
    <t>Thoughts</t>
  </si>
  <si>
    <t>Anyway to separate this? Guessing not, all part of same session</t>
  </si>
  <si>
    <t>first half (/loop-preflight ?) is there a clean fable/opus split that can be applied to /loop-drive ?</t>
  </si>
  <si>
    <t>second half (/loop-drive ?) is there a clean fable/opus split that can be applied to /loop-drive ?</t>
  </si>
  <si>
    <t>add to loop domain</t>
  </si>
  <si>
    <t>Add routing hand-off to this skill (make a copy of matt's wayfinder)</t>
  </si>
  <si>
    <t>Added as new loop-review skill</t>
  </si>
  <si>
    <t>Already copied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</si>
</sst>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7F2"/>
      </patternFill>
    </fill>
    <fill>
      <patternFill patternType="solid">
        <fgColor rgb="FFF2F4F9"/>
      </patternFill>
    </fill>
    <fill>
      <patternFill patternType="solid">
        <fgColor rgb="FFFBF5EF"/>
      </patternFill>
    </fill>
    <fill>
      <patternFill patternType="solid">
        <fgColor rgb="FFF7F2F7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DF5ED"/>
      </patternFill>
    </fill>
    <fill>
      <patternFill patternType="solid">
        <fgColor rgb="FFF5F0F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7" borderId="3" xfId="0" applyFont="1" applyFill="1" applyBorder="1" applyAlignment="1">
      <alignment vertical="top" wrapText="1"/>
    </xf>
    <xf numFmtId="0" fontId="2" fillId="11" borderId="2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2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D1" zoomScale="160" zoomScaleNormal="160" workbookViewId="0">
      <pane ySplit="1" topLeftCell="A5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44" customWidth="1"/>
    <col min="4" max="4" width="24" customWidth="1"/>
    <col min="5" max="5" width="30" customWidth="1"/>
    <col min="6" max="6" width="34" customWidth="1"/>
    <col min="7" max="7" width="44" customWidth="1"/>
    <col min="8" max="8" width="34" customWidth="1"/>
  </cols>
  <sheetData>
    <row r="1" spans="1:8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316</v>
      </c>
    </row>
    <row r="2" spans="1:8" ht="2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/>
    </row>
    <row r="3" spans="1:8" ht="28" x14ac:dyDescent="0.2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16</v>
      </c>
      <c r="G3" s="2" t="s">
        <v>18</v>
      </c>
      <c r="H3" s="3"/>
    </row>
    <row r="4" spans="1:8" ht="28" x14ac:dyDescent="0.2">
      <c r="A4" s="2" t="s">
        <v>7</v>
      </c>
      <c r="B4" s="2" t="s">
        <v>19</v>
      </c>
      <c r="C4" s="2" t="s">
        <v>20</v>
      </c>
      <c r="D4" s="2" t="s">
        <v>16</v>
      </c>
      <c r="E4" s="2" t="s">
        <v>17</v>
      </c>
      <c r="F4" s="2" t="s">
        <v>16</v>
      </c>
      <c r="G4" s="2" t="s">
        <v>21</v>
      </c>
      <c r="H4" s="3"/>
    </row>
    <row r="5" spans="1:8" ht="28" x14ac:dyDescent="0.2">
      <c r="A5" s="2" t="s">
        <v>7</v>
      </c>
      <c r="B5" s="2" t="s">
        <v>22</v>
      </c>
      <c r="C5" s="2" t="s">
        <v>23</v>
      </c>
      <c r="D5" s="2" t="s">
        <v>16</v>
      </c>
      <c r="E5" s="2" t="s">
        <v>17</v>
      </c>
      <c r="F5" s="2" t="s">
        <v>16</v>
      </c>
      <c r="G5" s="2" t="s">
        <v>24</v>
      </c>
      <c r="H5" s="3"/>
    </row>
    <row r="6" spans="1:8" ht="28" x14ac:dyDescent="0.2">
      <c r="A6" s="2" t="s">
        <v>7</v>
      </c>
      <c r="B6" s="2" t="s">
        <v>25</v>
      </c>
      <c r="C6" s="2" t="s">
        <v>26</v>
      </c>
      <c r="D6" s="2" t="s">
        <v>27</v>
      </c>
      <c r="E6" s="2" t="s">
        <v>17</v>
      </c>
      <c r="F6" s="2" t="s">
        <v>27</v>
      </c>
      <c r="G6" s="2" t="s">
        <v>28</v>
      </c>
      <c r="H6" s="3" t="s">
        <v>317</v>
      </c>
    </row>
    <row r="7" spans="1:8" ht="28" x14ac:dyDescent="0.2">
      <c r="A7" s="2" t="s">
        <v>7</v>
      </c>
      <c r="B7" s="2" t="s">
        <v>29</v>
      </c>
      <c r="C7" s="2" t="s">
        <v>30</v>
      </c>
      <c r="D7" s="2" t="s">
        <v>27</v>
      </c>
      <c r="E7" s="2" t="s">
        <v>17</v>
      </c>
      <c r="F7" s="2" t="s">
        <v>27</v>
      </c>
      <c r="G7" s="2" t="s">
        <v>31</v>
      </c>
      <c r="H7" s="3" t="s">
        <v>317</v>
      </c>
    </row>
    <row r="8" spans="1:8" ht="28" x14ac:dyDescent="0.2">
      <c r="A8" s="2" t="s">
        <v>7</v>
      </c>
      <c r="B8" s="2" t="s">
        <v>32</v>
      </c>
      <c r="C8" s="2" t="s">
        <v>33</v>
      </c>
      <c r="D8" s="2" t="s">
        <v>34</v>
      </c>
      <c r="E8" s="2" t="s">
        <v>17</v>
      </c>
      <c r="F8" s="2" t="s">
        <v>12</v>
      </c>
      <c r="G8" s="2" t="s">
        <v>35</v>
      </c>
      <c r="H8" s="3"/>
    </row>
    <row r="9" spans="1:8" ht="28" x14ac:dyDescent="0.2">
      <c r="A9" s="4" t="s">
        <v>36</v>
      </c>
      <c r="B9" s="4" t="s">
        <v>37</v>
      </c>
      <c r="C9" s="4" t="s">
        <v>38</v>
      </c>
      <c r="D9" s="4" t="s">
        <v>10</v>
      </c>
      <c r="E9" s="4" t="s">
        <v>11</v>
      </c>
      <c r="F9" s="4" t="s">
        <v>12</v>
      </c>
      <c r="G9" s="4" t="s">
        <v>39</v>
      </c>
      <c r="H9" s="3"/>
    </row>
    <row r="10" spans="1:8" ht="28" x14ac:dyDescent="0.2">
      <c r="A10" s="4" t="s">
        <v>36</v>
      </c>
      <c r="B10" s="4" t="s">
        <v>40</v>
      </c>
      <c r="C10" s="4" t="s">
        <v>41</v>
      </c>
      <c r="D10" s="4" t="s">
        <v>27</v>
      </c>
      <c r="E10" s="4" t="s">
        <v>17</v>
      </c>
      <c r="F10" s="4" t="s">
        <v>27</v>
      </c>
      <c r="G10" s="4" t="s">
        <v>42</v>
      </c>
      <c r="H10" s="3"/>
    </row>
    <row r="11" spans="1:8" ht="42" x14ac:dyDescent="0.2">
      <c r="A11" s="4" t="s">
        <v>36</v>
      </c>
      <c r="B11" s="4" t="s">
        <v>43</v>
      </c>
      <c r="C11" s="4" t="s">
        <v>44</v>
      </c>
      <c r="D11" s="4" t="s">
        <v>16</v>
      </c>
      <c r="E11" s="4" t="s">
        <v>17</v>
      </c>
      <c r="F11" s="13" t="s">
        <v>16</v>
      </c>
      <c r="G11" s="4" t="s">
        <v>45</v>
      </c>
      <c r="H11" s="3" t="s">
        <v>315</v>
      </c>
    </row>
    <row r="12" spans="1:8" ht="28" x14ac:dyDescent="0.2">
      <c r="A12" s="4" t="s">
        <v>36</v>
      </c>
      <c r="B12" s="4" t="s">
        <v>46</v>
      </c>
      <c r="C12" s="4" t="s">
        <v>47</v>
      </c>
      <c r="D12" s="4" t="s">
        <v>27</v>
      </c>
      <c r="E12" s="4" t="s">
        <v>17</v>
      </c>
      <c r="F12" s="4" t="s">
        <v>27</v>
      </c>
      <c r="G12" s="4" t="s">
        <v>48</v>
      </c>
      <c r="H12" s="3"/>
    </row>
    <row r="13" spans="1:8" ht="28" x14ac:dyDescent="0.2">
      <c r="A13" s="4" t="s">
        <v>36</v>
      </c>
      <c r="B13" s="4" t="s">
        <v>49</v>
      </c>
      <c r="C13" s="4" t="s">
        <v>50</v>
      </c>
      <c r="D13" s="4" t="s">
        <v>27</v>
      </c>
      <c r="E13" s="4" t="s">
        <v>17</v>
      </c>
      <c r="F13" s="4" t="s">
        <v>27</v>
      </c>
      <c r="G13" s="4" t="s">
        <v>51</v>
      </c>
      <c r="H13" s="3"/>
    </row>
    <row r="14" spans="1:8" ht="42" x14ac:dyDescent="0.2">
      <c r="A14" s="4" t="s">
        <v>36</v>
      </c>
      <c r="B14" s="4" t="s">
        <v>52</v>
      </c>
      <c r="C14" s="4" t="s">
        <v>53</v>
      </c>
      <c r="D14" s="4" t="s">
        <v>27</v>
      </c>
      <c r="E14" s="4" t="s">
        <v>54</v>
      </c>
      <c r="F14" s="4" t="s">
        <v>55</v>
      </c>
      <c r="G14" s="4" t="s">
        <v>56</v>
      </c>
      <c r="H14" s="3" t="str">
        <f>F14</f>
        <v>Keep Opus for lens A; Fable for lens B on high-stakes plans; GLM as a cheap third lens</v>
      </c>
    </row>
    <row r="15" spans="1:8" x14ac:dyDescent="0.2">
      <c r="A15" s="4" t="s">
        <v>36</v>
      </c>
      <c r="B15" s="4" t="s">
        <v>57</v>
      </c>
      <c r="C15" s="4" t="s">
        <v>58</v>
      </c>
      <c r="D15" s="4" t="s">
        <v>34</v>
      </c>
      <c r="E15" s="4" t="s">
        <v>17</v>
      </c>
      <c r="F15" s="4" t="s">
        <v>12</v>
      </c>
      <c r="G15" s="4" t="s">
        <v>35</v>
      </c>
      <c r="H15" s="3"/>
    </row>
    <row r="16" spans="1:8" x14ac:dyDescent="0.2">
      <c r="A16" s="5" t="s">
        <v>59</v>
      </c>
      <c r="B16" s="5" t="s">
        <v>60</v>
      </c>
      <c r="C16" s="5" t="s">
        <v>61</v>
      </c>
      <c r="D16" s="5" t="s">
        <v>62</v>
      </c>
      <c r="E16" s="5" t="s">
        <v>17</v>
      </c>
      <c r="F16" s="5" t="s">
        <v>62</v>
      </c>
      <c r="G16" s="5" t="s">
        <v>63</v>
      </c>
      <c r="H16" s="3"/>
    </row>
    <row r="17" spans="1:8" x14ac:dyDescent="0.2">
      <c r="A17" s="5" t="s">
        <v>59</v>
      </c>
      <c r="B17" s="5" t="s">
        <v>64</v>
      </c>
      <c r="C17" s="5" t="s">
        <v>65</v>
      </c>
      <c r="D17" s="5" t="s">
        <v>66</v>
      </c>
      <c r="E17" s="5" t="s">
        <v>17</v>
      </c>
      <c r="F17" s="5" t="s">
        <v>67</v>
      </c>
      <c r="G17" s="5" t="s">
        <v>68</v>
      </c>
      <c r="H17" s="3"/>
    </row>
    <row r="18" spans="1:8" ht="28" x14ac:dyDescent="0.2">
      <c r="A18" s="5" t="s">
        <v>59</v>
      </c>
      <c r="B18" s="5" t="s">
        <v>69</v>
      </c>
      <c r="C18" s="5" t="s">
        <v>70</v>
      </c>
      <c r="D18" s="5" t="s">
        <v>27</v>
      </c>
      <c r="E18" s="5" t="s">
        <v>17</v>
      </c>
      <c r="F18" s="5" t="s">
        <v>27</v>
      </c>
      <c r="G18" s="5" t="s">
        <v>71</v>
      </c>
      <c r="H18" s="3"/>
    </row>
    <row r="19" spans="1:8" ht="28" x14ac:dyDescent="0.2">
      <c r="A19" s="5" t="s">
        <v>59</v>
      </c>
      <c r="B19" s="5" t="s">
        <v>72</v>
      </c>
      <c r="C19" s="5" t="s">
        <v>73</v>
      </c>
      <c r="D19" s="5" t="s">
        <v>27</v>
      </c>
      <c r="E19" s="5" t="s">
        <v>17</v>
      </c>
      <c r="F19" s="5" t="s">
        <v>27</v>
      </c>
      <c r="G19" s="5" t="s">
        <v>74</v>
      </c>
      <c r="H19" s="3"/>
    </row>
    <row r="20" spans="1:8" ht="28" x14ac:dyDescent="0.2">
      <c r="A20" s="5" t="s">
        <v>59</v>
      </c>
      <c r="B20" s="5" t="s">
        <v>75</v>
      </c>
      <c r="C20" s="5" t="s">
        <v>76</v>
      </c>
      <c r="D20" s="5" t="s">
        <v>27</v>
      </c>
      <c r="E20" s="5" t="s">
        <v>17</v>
      </c>
      <c r="F20" s="5" t="s">
        <v>27</v>
      </c>
      <c r="G20" s="5" t="s">
        <v>77</v>
      </c>
      <c r="H20" s="3"/>
    </row>
    <row r="21" spans="1:8" ht="42" x14ac:dyDescent="0.2">
      <c r="A21" s="6" t="s">
        <v>78</v>
      </c>
      <c r="B21" s="6" t="s">
        <v>79</v>
      </c>
      <c r="C21" s="6" t="s">
        <v>80</v>
      </c>
      <c r="D21" s="6" t="s">
        <v>16</v>
      </c>
      <c r="E21" s="6" t="s">
        <v>81</v>
      </c>
      <c r="F21" s="6" t="s">
        <v>27</v>
      </c>
      <c r="G21" s="6" t="s">
        <v>82</v>
      </c>
      <c r="H21" s="3" t="s">
        <v>318</v>
      </c>
    </row>
    <row r="22" spans="1:8" ht="42" x14ac:dyDescent="0.2">
      <c r="A22" s="6" t="s">
        <v>78</v>
      </c>
      <c r="B22" s="6" t="s">
        <v>83</v>
      </c>
      <c r="C22" s="6" t="s">
        <v>84</v>
      </c>
      <c r="D22" s="6" t="s">
        <v>16</v>
      </c>
      <c r="E22" s="6" t="s">
        <v>85</v>
      </c>
      <c r="F22" s="6" t="s">
        <v>27</v>
      </c>
      <c r="G22" s="6" t="s">
        <v>86</v>
      </c>
      <c r="H22" s="3" t="s">
        <v>318</v>
      </c>
    </row>
    <row r="23" spans="1:8" ht="42" x14ac:dyDescent="0.2">
      <c r="A23" s="6" t="s">
        <v>78</v>
      </c>
      <c r="B23" s="6" t="s">
        <v>87</v>
      </c>
      <c r="C23" s="6" t="s">
        <v>88</v>
      </c>
      <c r="D23" s="6" t="s">
        <v>16</v>
      </c>
      <c r="E23" s="6" t="s">
        <v>85</v>
      </c>
      <c r="F23" s="13" t="s">
        <v>16</v>
      </c>
      <c r="G23" s="6" t="s">
        <v>89</v>
      </c>
      <c r="H23" s="3" t="s">
        <v>318</v>
      </c>
    </row>
    <row r="24" spans="1:8" ht="42" x14ac:dyDescent="0.2">
      <c r="A24" s="6" t="s">
        <v>78</v>
      </c>
      <c r="B24" s="6" t="s">
        <v>90</v>
      </c>
      <c r="C24" s="6" t="s">
        <v>91</v>
      </c>
      <c r="D24" s="6" t="s">
        <v>16</v>
      </c>
      <c r="E24" s="6" t="s">
        <v>85</v>
      </c>
      <c r="F24" s="6" t="s">
        <v>27</v>
      </c>
      <c r="G24" s="6" t="s">
        <v>92</v>
      </c>
      <c r="H24" s="3" t="s">
        <v>318</v>
      </c>
    </row>
    <row r="25" spans="1:8" ht="42" x14ac:dyDescent="0.2">
      <c r="A25" s="6" t="s">
        <v>78</v>
      </c>
      <c r="B25" s="6" t="s">
        <v>93</v>
      </c>
      <c r="C25" s="6" t="s">
        <v>94</v>
      </c>
      <c r="D25" s="6" t="s">
        <v>16</v>
      </c>
      <c r="E25" s="6" t="s">
        <v>85</v>
      </c>
      <c r="F25" s="6" t="s">
        <v>27</v>
      </c>
      <c r="G25" s="6" t="s">
        <v>95</v>
      </c>
      <c r="H25" s="3" t="s">
        <v>318</v>
      </c>
    </row>
    <row r="26" spans="1:8" ht="42" x14ac:dyDescent="0.2">
      <c r="A26" s="6" t="s">
        <v>78</v>
      </c>
      <c r="B26" s="6" t="s">
        <v>96</v>
      </c>
      <c r="C26" s="6" t="s">
        <v>97</v>
      </c>
      <c r="D26" s="6" t="s">
        <v>16</v>
      </c>
      <c r="E26" s="6" t="s">
        <v>85</v>
      </c>
      <c r="F26" s="13" t="s">
        <v>98</v>
      </c>
      <c r="G26" s="6" t="s">
        <v>99</v>
      </c>
      <c r="H26" s="3" t="s">
        <v>318</v>
      </c>
    </row>
    <row r="27" spans="1:8" ht="42" x14ac:dyDescent="0.2">
      <c r="A27" s="6" t="s">
        <v>78</v>
      </c>
      <c r="B27" s="6" t="s">
        <v>100</v>
      </c>
      <c r="C27" s="6" t="s">
        <v>101</v>
      </c>
      <c r="D27" s="6" t="s">
        <v>16</v>
      </c>
      <c r="E27" s="6" t="s">
        <v>85</v>
      </c>
      <c r="F27" s="6" t="s">
        <v>12</v>
      </c>
      <c r="G27" s="6" t="s">
        <v>102</v>
      </c>
      <c r="H27" s="3" t="s">
        <v>319</v>
      </c>
    </row>
    <row r="28" spans="1:8" ht="42" x14ac:dyDescent="0.2">
      <c r="A28" s="6" t="s">
        <v>78</v>
      </c>
      <c r="B28" s="6" t="s">
        <v>103</v>
      </c>
      <c r="C28" s="6" t="s">
        <v>104</v>
      </c>
      <c r="D28" s="6" t="s">
        <v>105</v>
      </c>
      <c r="E28" s="6" t="s">
        <v>106</v>
      </c>
      <c r="F28" s="6" t="s">
        <v>12</v>
      </c>
      <c r="G28" s="6" t="s">
        <v>107</v>
      </c>
      <c r="H28" s="3" t="s">
        <v>319</v>
      </c>
    </row>
    <row r="29" spans="1:8" ht="42" x14ac:dyDescent="0.2">
      <c r="A29" s="6" t="s">
        <v>78</v>
      </c>
      <c r="B29" s="6" t="s">
        <v>108</v>
      </c>
      <c r="C29" s="6" t="s">
        <v>109</v>
      </c>
      <c r="D29" s="6" t="s">
        <v>62</v>
      </c>
      <c r="E29" s="6" t="s">
        <v>110</v>
      </c>
      <c r="F29" s="6" t="s">
        <v>12</v>
      </c>
      <c r="G29" s="6" t="s">
        <v>111</v>
      </c>
      <c r="H29" s="3" t="s">
        <v>319</v>
      </c>
    </row>
    <row r="30" spans="1:8" ht="42" x14ac:dyDescent="0.2">
      <c r="A30" s="6" t="s">
        <v>78</v>
      </c>
      <c r="B30" s="6" t="s">
        <v>112</v>
      </c>
      <c r="C30" s="6" t="s">
        <v>113</v>
      </c>
      <c r="D30" s="6" t="s">
        <v>27</v>
      </c>
      <c r="E30" s="6" t="s">
        <v>114</v>
      </c>
      <c r="F30" s="13" t="s">
        <v>115</v>
      </c>
      <c r="G30" s="6" t="s">
        <v>116</v>
      </c>
      <c r="H30" s="3" t="s">
        <v>319</v>
      </c>
    </row>
    <row r="31" spans="1:8" ht="42" x14ac:dyDescent="0.2">
      <c r="A31" s="6" t="s">
        <v>78</v>
      </c>
      <c r="B31" s="6" t="s">
        <v>117</v>
      </c>
      <c r="C31" s="6" t="s">
        <v>118</v>
      </c>
      <c r="D31" s="6" t="s">
        <v>119</v>
      </c>
      <c r="E31" s="6" t="s">
        <v>120</v>
      </c>
      <c r="F31" s="6" t="s">
        <v>12</v>
      </c>
      <c r="G31" s="6" t="s">
        <v>121</v>
      </c>
      <c r="H31" s="3" t="s">
        <v>319</v>
      </c>
    </row>
    <row r="32" spans="1:8" ht="42" x14ac:dyDescent="0.2">
      <c r="A32" s="6" t="s">
        <v>78</v>
      </c>
      <c r="B32" s="6" t="s">
        <v>122</v>
      </c>
      <c r="C32" s="6" t="s">
        <v>123</v>
      </c>
      <c r="D32" s="6" t="s">
        <v>124</v>
      </c>
      <c r="E32" s="6" t="s">
        <v>125</v>
      </c>
      <c r="F32" s="6" t="s">
        <v>126</v>
      </c>
      <c r="G32" s="6" t="s">
        <v>127</v>
      </c>
      <c r="H32" s="3" t="s">
        <v>319</v>
      </c>
    </row>
  </sheetData>
  <autoFilter ref="A1:H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zoomScale="180" zoomScaleNormal="180"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G42" sqref="G42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44" customWidth="1"/>
    <col min="4" max="4" width="18" customWidth="1"/>
    <col min="5" max="5" width="30" customWidth="1"/>
    <col min="6" max="6" width="24" customWidth="1"/>
    <col min="7" max="7" width="28" customWidth="1"/>
    <col min="8" max="8" width="34" customWidth="1"/>
    <col min="9" max="9" width="48" customWidth="1"/>
    <col min="10" max="10" width="13" customWidth="1"/>
  </cols>
  <sheetData>
    <row r="1" spans="1:1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128</v>
      </c>
      <c r="I1" s="1" t="s">
        <v>129</v>
      </c>
      <c r="J1" s="11" t="s">
        <v>313</v>
      </c>
    </row>
    <row r="2" spans="1:10" ht="28" x14ac:dyDescent="0.2">
      <c r="A2" s="2" t="s">
        <v>130</v>
      </c>
      <c r="B2" s="2" t="s">
        <v>131</v>
      </c>
      <c r="C2" s="2" t="s">
        <v>132</v>
      </c>
      <c r="D2" s="2" t="s">
        <v>124</v>
      </c>
      <c r="E2" s="2" t="s">
        <v>133</v>
      </c>
      <c r="F2" s="2" t="s">
        <v>12</v>
      </c>
      <c r="G2" s="2" t="s">
        <v>134</v>
      </c>
      <c r="H2" s="8"/>
      <c r="I2" s="7" t="s">
        <v>135</v>
      </c>
    </row>
    <row r="3" spans="1:10" ht="28" x14ac:dyDescent="0.2">
      <c r="A3" s="9" t="s">
        <v>136</v>
      </c>
      <c r="B3" s="9" t="s">
        <v>137</v>
      </c>
      <c r="C3" s="9" t="s">
        <v>138</v>
      </c>
      <c r="D3" s="9" t="s">
        <v>16</v>
      </c>
      <c r="E3" s="9" t="s">
        <v>17</v>
      </c>
      <c r="F3" s="9" t="s">
        <v>16</v>
      </c>
      <c r="G3" s="9"/>
      <c r="H3" s="8" t="s">
        <v>139</v>
      </c>
      <c r="I3" s="7" t="s">
        <v>140</v>
      </c>
    </row>
    <row r="4" spans="1:10" ht="28" x14ac:dyDescent="0.2">
      <c r="A4" s="9" t="s">
        <v>136</v>
      </c>
      <c r="B4" s="9" t="s">
        <v>141</v>
      </c>
      <c r="C4" s="9" t="s">
        <v>142</v>
      </c>
      <c r="D4" s="9" t="s">
        <v>16</v>
      </c>
      <c r="E4" s="9" t="s">
        <v>17</v>
      </c>
      <c r="F4" s="9" t="s">
        <v>16</v>
      </c>
      <c r="G4" s="9"/>
      <c r="H4" s="8" t="s">
        <v>143</v>
      </c>
      <c r="I4" s="7" t="s">
        <v>144</v>
      </c>
    </row>
    <row r="5" spans="1:10" ht="28" x14ac:dyDescent="0.2">
      <c r="A5" s="9" t="s">
        <v>136</v>
      </c>
      <c r="B5" s="9" t="s">
        <v>145</v>
      </c>
      <c r="C5" s="9" t="s">
        <v>146</v>
      </c>
      <c r="D5" s="9" t="s">
        <v>147</v>
      </c>
      <c r="E5" s="9" t="s">
        <v>17</v>
      </c>
      <c r="F5" s="9" t="s">
        <v>12</v>
      </c>
      <c r="G5" s="9"/>
      <c r="H5" s="8" t="s">
        <v>148</v>
      </c>
      <c r="I5" s="7" t="s">
        <v>149</v>
      </c>
    </row>
    <row r="6" spans="1:10" ht="28" x14ac:dyDescent="0.2">
      <c r="A6" s="9" t="s">
        <v>136</v>
      </c>
      <c r="B6" s="9" t="s">
        <v>150</v>
      </c>
      <c r="C6" s="9" t="s">
        <v>151</v>
      </c>
      <c r="D6" s="9" t="s">
        <v>34</v>
      </c>
      <c r="E6" s="9" t="s">
        <v>17</v>
      </c>
      <c r="F6" s="9" t="s">
        <v>12</v>
      </c>
      <c r="G6" s="9"/>
      <c r="H6" s="8" t="s">
        <v>152</v>
      </c>
      <c r="I6" s="7" t="s">
        <v>153</v>
      </c>
    </row>
    <row r="7" spans="1:10" ht="28" x14ac:dyDescent="0.2">
      <c r="A7" s="6" t="s">
        <v>154</v>
      </c>
      <c r="B7" s="6" t="s">
        <v>155</v>
      </c>
      <c r="C7" s="6" t="s">
        <v>156</v>
      </c>
      <c r="D7" s="6" t="s">
        <v>16</v>
      </c>
      <c r="E7" s="6" t="s">
        <v>17</v>
      </c>
      <c r="F7" s="6" t="s">
        <v>16</v>
      </c>
      <c r="G7" s="6"/>
      <c r="H7" s="8"/>
      <c r="I7" s="7" t="s">
        <v>157</v>
      </c>
      <c r="J7" s="12" t="s">
        <v>320</v>
      </c>
    </row>
    <row r="8" spans="1:10" ht="28" x14ac:dyDescent="0.2">
      <c r="A8" s="6" t="s">
        <v>154</v>
      </c>
      <c r="B8" s="6" t="s">
        <v>158</v>
      </c>
      <c r="C8" s="6" t="s">
        <v>159</v>
      </c>
      <c r="D8" s="6" t="s">
        <v>16</v>
      </c>
      <c r="E8" s="6" t="s">
        <v>17</v>
      </c>
      <c r="F8" s="6" t="s">
        <v>16</v>
      </c>
      <c r="G8" s="6"/>
      <c r="H8" s="8" t="s">
        <v>160</v>
      </c>
      <c r="I8" s="7" t="s">
        <v>161</v>
      </c>
      <c r="J8" s="12" t="s">
        <v>320</v>
      </c>
    </row>
    <row r="9" spans="1:10" ht="28" x14ac:dyDescent="0.2">
      <c r="A9" s="6" t="s">
        <v>154</v>
      </c>
      <c r="B9" s="6" t="s">
        <v>162</v>
      </c>
      <c r="C9" s="6" t="s">
        <v>163</v>
      </c>
      <c r="D9" s="6" t="s">
        <v>27</v>
      </c>
      <c r="E9" s="6" t="s">
        <v>17</v>
      </c>
      <c r="F9" s="6" t="s">
        <v>27</v>
      </c>
      <c r="G9" s="6"/>
      <c r="H9" s="8"/>
      <c r="I9" s="7" t="s">
        <v>164</v>
      </c>
      <c r="J9" s="12" t="s">
        <v>314</v>
      </c>
    </row>
    <row r="10" spans="1:10" ht="28" x14ac:dyDescent="0.2">
      <c r="A10" s="6" t="s">
        <v>154</v>
      </c>
      <c r="B10" s="6" t="s">
        <v>165</v>
      </c>
      <c r="C10" s="6" t="s">
        <v>166</v>
      </c>
      <c r="D10" s="6" t="s">
        <v>27</v>
      </c>
      <c r="E10" s="6" t="s">
        <v>17</v>
      </c>
      <c r="F10" s="6" t="s">
        <v>27</v>
      </c>
      <c r="G10" s="6"/>
      <c r="H10" s="8" t="s">
        <v>167</v>
      </c>
      <c r="I10" s="7" t="s">
        <v>168</v>
      </c>
    </row>
    <row r="11" spans="1:10" ht="28" x14ac:dyDescent="0.2">
      <c r="A11" s="6" t="s">
        <v>154</v>
      </c>
      <c r="B11" s="6" t="s">
        <v>169</v>
      </c>
      <c r="C11" s="6" t="s">
        <v>170</v>
      </c>
      <c r="D11" s="6" t="s">
        <v>27</v>
      </c>
      <c r="E11" s="6" t="s">
        <v>17</v>
      </c>
      <c r="F11" s="6" t="s">
        <v>27</v>
      </c>
      <c r="G11" s="6"/>
      <c r="H11" s="8"/>
      <c r="I11" s="7" t="s">
        <v>171</v>
      </c>
      <c r="J11" s="12" t="s">
        <v>320</v>
      </c>
    </row>
    <row r="12" spans="1:10" ht="28" x14ac:dyDescent="0.2">
      <c r="A12" s="6" t="s">
        <v>154</v>
      </c>
      <c r="B12" s="6" t="s">
        <v>172</v>
      </c>
      <c r="C12" s="6" t="s">
        <v>173</v>
      </c>
      <c r="D12" s="6" t="s">
        <v>16</v>
      </c>
      <c r="E12" s="6" t="s">
        <v>17</v>
      </c>
      <c r="F12" s="6" t="s">
        <v>16</v>
      </c>
      <c r="G12" s="6"/>
      <c r="H12" s="8" t="s">
        <v>174</v>
      </c>
      <c r="I12" s="7" t="s">
        <v>175</v>
      </c>
      <c r="J12" s="12" t="s">
        <v>320</v>
      </c>
    </row>
    <row r="13" spans="1:10" ht="70" x14ac:dyDescent="0.2">
      <c r="A13" s="4" t="s">
        <v>176</v>
      </c>
      <c r="B13" s="4" t="s">
        <v>177</v>
      </c>
      <c r="C13" s="4" t="s">
        <v>178</v>
      </c>
      <c r="D13" s="4" t="s">
        <v>16</v>
      </c>
      <c r="E13" s="4" t="s">
        <v>17</v>
      </c>
      <c r="F13" s="4" t="s">
        <v>16</v>
      </c>
      <c r="G13" s="4" t="s">
        <v>179</v>
      </c>
      <c r="H13" s="8" t="s">
        <v>180</v>
      </c>
      <c r="I13" s="7" t="s">
        <v>181</v>
      </c>
      <c r="J13" s="14" t="s">
        <v>321</v>
      </c>
    </row>
    <row r="14" spans="1:10" ht="28" x14ac:dyDescent="0.2">
      <c r="A14" s="4" t="s">
        <v>176</v>
      </c>
      <c r="B14" s="4" t="s">
        <v>182</v>
      </c>
      <c r="C14" s="4" t="s">
        <v>183</v>
      </c>
      <c r="D14" s="4" t="s">
        <v>16</v>
      </c>
      <c r="E14" s="4" t="s">
        <v>17</v>
      </c>
      <c r="F14" s="4" t="s">
        <v>16</v>
      </c>
      <c r="G14" s="4"/>
      <c r="H14" s="8"/>
      <c r="I14" s="7" t="s">
        <v>184</v>
      </c>
    </row>
    <row r="15" spans="1:10" ht="28" x14ac:dyDescent="0.2">
      <c r="A15" s="4" t="s">
        <v>176</v>
      </c>
      <c r="B15" s="4" t="s">
        <v>185</v>
      </c>
      <c r="C15" s="4" t="s">
        <v>186</v>
      </c>
      <c r="D15" s="4" t="s">
        <v>27</v>
      </c>
      <c r="E15" s="4" t="s">
        <v>17</v>
      </c>
      <c r="F15" s="4" t="s">
        <v>27</v>
      </c>
      <c r="G15" s="4" t="s">
        <v>187</v>
      </c>
      <c r="H15" s="8"/>
      <c r="I15" s="7" t="s">
        <v>188</v>
      </c>
    </row>
    <row r="16" spans="1:10" ht="28" x14ac:dyDescent="0.2">
      <c r="A16" s="4" t="s">
        <v>176</v>
      </c>
      <c r="B16" s="4" t="s">
        <v>189</v>
      </c>
      <c r="C16" s="4" t="s">
        <v>190</v>
      </c>
      <c r="D16" s="4" t="s">
        <v>62</v>
      </c>
      <c r="E16" s="4" t="s">
        <v>11</v>
      </c>
      <c r="F16" s="4" t="s">
        <v>12</v>
      </c>
      <c r="G16" s="4"/>
      <c r="H16" s="8" t="s">
        <v>191</v>
      </c>
      <c r="I16" s="7" t="s">
        <v>192</v>
      </c>
    </row>
    <row r="17" spans="1:10" ht="28" x14ac:dyDescent="0.2">
      <c r="A17" s="4" t="s">
        <v>176</v>
      </c>
      <c r="B17" s="4" t="s">
        <v>193</v>
      </c>
      <c r="C17" s="4" t="s">
        <v>194</v>
      </c>
      <c r="D17" s="4" t="s">
        <v>195</v>
      </c>
      <c r="E17" s="4" t="s">
        <v>17</v>
      </c>
      <c r="F17" s="4" t="s">
        <v>196</v>
      </c>
      <c r="G17" s="4" t="s">
        <v>197</v>
      </c>
      <c r="H17" s="8"/>
      <c r="I17" s="7" t="s">
        <v>198</v>
      </c>
    </row>
    <row r="18" spans="1:10" ht="28" x14ac:dyDescent="0.2">
      <c r="A18" s="4" t="s">
        <v>176</v>
      </c>
      <c r="B18" s="4" t="s">
        <v>199</v>
      </c>
      <c r="C18" s="4" t="s">
        <v>200</v>
      </c>
      <c r="D18" s="4" t="s">
        <v>16</v>
      </c>
      <c r="E18" s="4" t="s">
        <v>17</v>
      </c>
      <c r="F18" s="4" t="s">
        <v>16</v>
      </c>
      <c r="G18" s="4"/>
      <c r="H18" s="8"/>
      <c r="I18" s="7" t="s">
        <v>201</v>
      </c>
    </row>
    <row r="19" spans="1:10" ht="28" x14ac:dyDescent="0.2">
      <c r="A19" s="5" t="s">
        <v>202</v>
      </c>
      <c r="B19" s="5" t="s">
        <v>203</v>
      </c>
      <c r="C19" s="5" t="s">
        <v>204</v>
      </c>
      <c r="D19" s="5" t="s">
        <v>62</v>
      </c>
      <c r="E19" s="5" t="s">
        <v>17</v>
      </c>
      <c r="F19" s="5" t="s">
        <v>12</v>
      </c>
      <c r="G19" s="5"/>
      <c r="H19" s="8" t="s">
        <v>205</v>
      </c>
      <c r="I19" s="7"/>
    </row>
    <row r="20" spans="1:10" ht="28" x14ac:dyDescent="0.2">
      <c r="A20" s="5" t="s">
        <v>202</v>
      </c>
      <c r="B20" s="5" t="s">
        <v>206</v>
      </c>
      <c r="C20" s="5" t="s">
        <v>207</v>
      </c>
      <c r="D20" s="5" t="s">
        <v>16</v>
      </c>
      <c r="E20" s="5" t="s">
        <v>17</v>
      </c>
      <c r="F20" s="5" t="s">
        <v>16</v>
      </c>
      <c r="G20" s="5"/>
      <c r="H20" s="8" t="s">
        <v>208</v>
      </c>
      <c r="I20" s="7" t="s">
        <v>209</v>
      </c>
    </row>
    <row r="21" spans="1:10" ht="28" x14ac:dyDescent="0.2">
      <c r="A21" s="5" t="s">
        <v>202</v>
      </c>
      <c r="B21" s="5" t="s">
        <v>210</v>
      </c>
      <c r="C21" s="5" t="s">
        <v>211</v>
      </c>
      <c r="D21" s="5" t="s">
        <v>27</v>
      </c>
      <c r="E21" s="5" t="s">
        <v>17</v>
      </c>
      <c r="F21" s="5" t="s">
        <v>27</v>
      </c>
      <c r="G21" s="5"/>
      <c r="H21" s="8" t="s">
        <v>212</v>
      </c>
      <c r="I21" s="7" t="s">
        <v>213</v>
      </c>
    </row>
    <row r="22" spans="1:10" ht="28" x14ac:dyDescent="0.2">
      <c r="A22" s="10" t="s">
        <v>214</v>
      </c>
      <c r="B22" s="10" t="s">
        <v>215</v>
      </c>
      <c r="C22" s="10" t="s">
        <v>216</v>
      </c>
      <c r="D22" s="10" t="s">
        <v>62</v>
      </c>
      <c r="E22" s="10" t="s">
        <v>17</v>
      </c>
      <c r="F22" s="10" t="s">
        <v>12</v>
      </c>
      <c r="G22" s="10"/>
      <c r="H22" s="8" t="s">
        <v>205</v>
      </c>
      <c r="I22" s="7"/>
    </row>
    <row r="23" spans="1:10" ht="28" x14ac:dyDescent="0.2">
      <c r="A23" s="10" t="s">
        <v>214</v>
      </c>
      <c r="B23" s="10" t="s">
        <v>217</v>
      </c>
      <c r="C23" s="10" t="s">
        <v>218</v>
      </c>
      <c r="D23" s="10" t="s">
        <v>27</v>
      </c>
      <c r="E23" s="10" t="s">
        <v>17</v>
      </c>
      <c r="F23" s="10" t="s">
        <v>27</v>
      </c>
      <c r="G23" s="10"/>
      <c r="H23" s="8"/>
      <c r="I23" s="7" t="s">
        <v>219</v>
      </c>
      <c r="J23" s="15" t="s">
        <v>314</v>
      </c>
    </row>
    <row r="24" spans="1:10" ht="42" x14ac:dyDescent="0.2">
      <c r="A24" s="10" t="s">
        <v>214</v>
      </c>
      <c r="B24" s="10" t="s">
        <v>220</v>
      </c>
      <c r="C24" s="10" t="s">
        <v>221</v>
      </c>
      <c r="D24" s="10" t="s">
        <v>16</v>
      </c>
      <c r="E24" s="10" t="s">
        <v>17</v>
      </c>
      <c r="F24" s="10" t="s">
        <v>16</v>
      </c>
      <c r="G24" s="10"/>
      <c r="H24" s="8" t="s">
        <v>222</v>
      </c>
      <c r="I24" s="7" t="s">
        <v>223</v>
      </c>
    </row>
    <row r="25" spans="1:10" ht="28" x14ac:dyDescent="0.2">
      <c r="A25" s="10" t="s">
        <v>214</v>
      </c>
      <c r="B25" s="10" t="s">
        <v>224</v>
      </c>
      <c r="C25" s="10" t="s">
        <v>225</v>
      </c>
      <c r="D25" s="10" t="s">
        <v>16</v>
      </c>
      <c r="E25" s="10" t="s">
        <v>17</v>
      </c>
      <c r="F25" s="10" t="s">
        <v>16</v>
      </c>
      <c r="G25" s="10"/>
      <c r="H25" s="8"/>
      <c r="I25" s="7" t="s">
        <v>226</v>
      </c>
      <c r="J25" s="15" t="s">
        <v>314</v>
      </c>
    </row>
    <row r="26" spans="1:10" ht="28" x14ac:dyDescent="0.2">
      <c r="A26" s="10" t="s">
        <v>214</v>
      </c>
      <c r="B26" s="10" t="s">
        <v>227</v>
      </c>
      <c r="C26" s="10" t="s">
        <v>228</v>
      </c>
      <c r="D26" s="10" t="s">
        <v>34</v>
      </c>
      <c r="E26" s="10" t="s">
        <v>17</v>
      </c>
      <c r="F26" s="10" t="s">
        <v>12</v>
      </c>
      <c r="G26" s="10"/>
      <c r="H26" s="8" t="s">
        <v>229</v>
      </c>
      <c r="I26" s="7" t="s">
        <v>230</v>
      </c>
    </row>
    <row r="27" spans="1:10" ht="28" x14ac:dyDescent="0.2">
      <c r="A27" s="10" t="s">
        <v>214</v>
      </c>
      <c r="B27" s="10" t="s">
        <v>231</v>
      </c>
      <c r="C27" s="10" t="s">
        <v>232</v>
      </c>
      <c r="D27" s="10" t="s">
        <v>62</v>
      </c>
      <c r="E27" s="10" t="s">
        <v>17</v>
      </c>
      <c r="F27" s="10" t="s">
        <v>12</v>
      </c>
      <c r="G27" s="10"/>
      <c r="H27" s="8" t="s">
        <v>233</v>
      </c>
      <c r="I27" s="7" t="s">
        <v>234</v>
      </c>
    </row>
    <row r="28" spans="1:10" x14ac:dyDescent="0.2">
      <c r="A28" s="2" t="s">
        <v>235</v>
      </c>
      <c r="B28" s="2" t="s">
        <v>236</v>
      </c>
      <c r="C28" s="2" t="s">
        <v>237</v>
      </c>
      <c r="D28" s="2" t="s">
        <v>62</v>
      </c>
      <c r="E28" s="2" t="s">
        <v>17</v>
      </c>
      <c r="F28" s="2" t="s">
        <v>12</v>
      </c>
      <c r="G28" s="2"/>
      <c r="H28" s="8" t="s">
        <v>238</v>
      </c>
      <c r="I28" s="7"/>
    </row>
    <row r="29" spans="1:10" ht="28" x14ac:dyDescent="0.2">
      <c r="A29" s="2" t="s">
        <v>235</v>
      </c>
      <c r="B29" s="2" t="s">
        <v>239</v>
      </c>
      <c r="C29" s="2" t="s">
        <v>240</v>
      </c>
      <c r="D29" s="2" t="s">
        <v>241</v>
      </c>
      <c r="E29" s="2" t="s">
        <v>242</v>
      </c>
      <c r="F29" s="2" t="s">
        <v>12</v>
      </c>
      <c r="G29" s="2" t="s">
        <v>243</v>
      </c>
      <c r="H29" s="8" t="s">
        <v>244</v>
      </c>
      <c r="I29" s="7" t="s">
        <v>245</v>
      </c>
    </row>
    <row r="30" spans="1:10" ht="28" x14ac:dyDescent="0.2">
      <c r="A30" s="2" t="s">
        <v>235</v>
      </c>
      <c r="B30" s="2" t="s">
        <v>246</v>
      </c>
      <c r="C30" s="2" t="s">
        <v>247</v>
      </c>
      <c r="D30" s="2" t="s">
        <v>241</v>
      </c>
      <c r="E30" s="2" t="s">
        <v>17</v>
      </c>
      <c r="F30" s="2" t="s">
        <v>12</v>
      </c>
      <c r="G30" s="2"/>
      <c r="H30" s="8" t="s">
        <v>248</v>
      </c>
      <c r="I30" s="7" t="s">
        <v>249</v>
      </c>
    </row>
    <row r="31" spans="1:10" ht="28" x14ac:dyDescent="0.2">
      <c r="A31" s="2" t="s">
        <v>235</v>
      </c>
      <c r="B31" s="2" t="s">
        <v>250</v>
      </c>
      <c r="C31" s="2" t="s">
        <v>251</v>
      </c>
      <c r="D31" s="2" t="s">
        <v>27</v>
      </c>
      <c r="E31" s="2" t="s">
        <v>17</v>
      </c>
      <c r="F31" s="2" t="s">
        <v>27</v>
      </c>
      <c r="G31" s="2"/>
      <c r="H31" s="8" t="s">
        <v>252</v>
      </c>
      <c r="I31" s="7" t="s">
        <v>253</v>
      </c>
    </row>
    <row r="32" spans="1:10" ht="28" x14ac:dyDescent="0.2">
      <c r="A32" s="4" t="s">
        <v>254</v>
      </c>
      <c r="B32" s="4" t="s">
        <v>255</v>
      </c>
      <c r="C32" s="4" t="s">
        <v>256</v>
      </c>
      <c r="D32" s="4" t="s">
        <v>257</v>
      </c>
      <c r="E32" s="4" t="s">
        <v>17</v>
      </c>
      <c r="F32" s="4" t="s">
        <v>12</v>
      </c>
      <c r="G32" s="4"/>
      <c r="H32" s="8" t="s">
        <v>258</v>
      </c>
      <c r="I32" s="7" t="s">
        <v>259</v>
      </c>
      <c r="J32" s="14" t="s">
        <v>322</v>
      </c>
    </row>
    <row r="33" spans="1:10" ht="28" x14ac:dyDescent="0.2">
      <c r="A33" s="4" t="s">
        <v>254</v>
      </c>
      <c r="B33" s="4" t="s">
        <v>260</v>
      </c>
      <c r="C33" s="4" t="s">
        <v>261</v>
      </c>
      <c r="D33" s="4" t="s">
        <v>62</v>
      </c>
      <c r="E33" s="4" t="s">
        <v>17</v>
      </c>
      <c r="F33" s="4" t="s">
        <v>12</v>
      </c>
      <c r="G33" s="4"/>
      <c r="H33" s="8"/>
      <c r="I33" s="7" t="s">
        <v>262</v>
      </c>
    </row>
    <row r="34" spans="1:10" ht="28" x14ac:dyDescent="0.2">
      <c r="A34" s="4" t="s">
        <v>254</v>
      </c>
      <c r="B34" s="4" t="s">
        <v>263</v>
      </c>
      <c r="C34" s="4" t="s">
        <v>264</v>
      </c>
      <c r="D34" s="4" t="s">
        <v>27</v>
      </c>
      <c r="E34" s="4" t="s">
        <v>265</v>
      </c>
      <c r="F34" s="4" t="s">
        <v>27</v>
      </c>
      <c r="G34" s="4"/>
      <c r="H34" s="8"/>
      <c r="I34" s="7" t="s">
        <v>266</v>
      </c>
    </row>
    <row r="35" spans="1:10" ht="28" x14ac:dyDescent="0.2">
      <c r="A35" s="4" t="s">
        <v>254</v>
      </c>
      <c r="B35" s="4" t="s">
        <v>267</v>
      </c>
      <c r="C35" s="4" t="s">
        <v>268</v>
      </c>
      <c r="D35" s="4" t="s">
        <v>27</v>
      </c>
      <c r="E35" s="4" t="s">
        <v>269</v>
      </c>
      <c r="F35" s="4" t="s">
        <v>27</v>
      </c>
      <c r="G35" s="4"/>
      <c r="H35" s="8" t="s">
        <v>270</v>
      </c>
      <c r="I35" s="7" t="s">
        <v>271</v>
      </c>
    </row>
    <row r="36" spans="1:10" ht="28" x14ac:dyDescent="0.2">
      <c r="A36" s="4" t="s">
        <v>254</v>
      </c>
      <c r="B36" s="4" t="s">
        <v>272</v>
      </c>
      <c r="C36" s="4" t="s">
        <v>273</v>
      </c>
      <c r="D36" s="4" t="s">
        <v>27</v>
      </c>
      <c r="E36" s="4" t="s">
        <v>17</v>
      </c>
      <c r="F36" s="4" t="s">
        <v>12</v>
      </c>
      <c r="G36" s="4"/>
      <c r="H36" s="8" t="s">
        <v>274</v>
      </c>
      <c r="I36" s="7" t="s">
        <v>275</v>
      </c>
    </row>
    <row r="37" spans="1:10" ht="28" x14ac:dyDescent="0.2">
      <c r="A37" s="5" t="s">
        <v>276</v>
      </c>
      <c r="B37" s="5" t="s">
        <v>277</v>
      </c>
      <c r="C37" s="5" t="s">
        <v>278</v>
      </c>
      <c r="D37" s="5" t="s">
        <v>16</v>
      </c>
      <c r="E37" s="5" t="s">
        <v>17</v>
      </c>
      <c r="F37" s="5" t="s">
        <v>16</v>
      </c>
      <c r="G37" s="5"/>
      <c r="H37" s="8"/>
      <c r="I37" s="7" t="s">
        <v>279</v>
      </c>
    </row>
    <row r="38" spans="1:10" ht="28" x14ac:dyDescent="0.2">
      <c r="A38" s="5" t="s">
        <v>276</v>
      </c>
      <c r="B38" s="5" t="s">
        <v>280</v>
      </c>
      <c r="C38" s="5" t="s">
        <v>281</v>
      </c>
      <c r="D38" s="5" t="s">
        <v>241</v>
      </c>
      <c r="E38" s="5" t="s">
        <v>11</v>
      </c>
      <c r="F38" s="5" t="s">
        <v>12</v>
      </c>
      <c r="G38" s="5"/>
      <c r="H38" s="8" t="s">
        <v>282</v>
      </c>
      <c r="I38" s="7"/>
    </row>
    <row r="39" spans="1:10" ht="28" x14ac:dyDescent="0.2">
      <c r="A39" s="5" t="s">
        <v>276</v>
      </c>
      <c r="B39" s="5" t="s">
        <v>283</v>
      </c>
      <c r="C39" s="5" t="s">
        <v>284</v>
      </c>
      <c r="D39" s="5" t="s">
        <v>241</v>
      </c>
      <c r="E39" s="5" t="s">
        <v>17</v>
      </c>
      <c r="F39" s="5" t="s">
        <v>12</v>
      </c>
      <c r="G39" s="5"/>
      <c r="H39" s="8"/>
      <c r="I39" s="7" t="s">
        <v>285</v>
      </c>
    </row>
    <row r="40" spans="1:10" ht="28" x14ac:dyDescent="0.2">
      <c r="A40" s="5" t="s">
        <v>276</v>
      </c>
      <c r="B40" s="5" t="s">
        <v>286</v>
      </c>
      <c r="C40" s="5" t="s">
        <v>287</v>
      </c>
      <c r="D40" s="5" t="s">
        <v>124</v>
      </c>
      <c r="E40" s="5" t="s">
        <v>17</v>
      </c>
      <c r="F40" s="5" t="s">
        <v>12</v>
      </c>
      <c r="G40" s="5"/>
      <c r="H40" s="8"/>
      <c r="I40" s="7" t="s">
        <v>288</v>
      </c>
    </row>
    <row r="41" spans="1:10" ht="28" x14ac:dyDescent="0.2">
      <c r="A41" s="9" t="s">
        <v>289</v>
      </c>
      <c r="B41" s="9" t="s">
        <v>290</v>
      </c>
      <c r="C41" s="9" t="s">
        <v>291</v>
      </c>
      <c r="D41" s="9" t="s">
        <v>27</v>
      </c>
      <c r="E41" s="9" t="s">
        <v>17</v>
      </c>
      <c r="F41" s="9" t="s">
        <v>27</v>
      </c>
      <c r="G41" s="9"/>
      <c r="H41" s="8"/>
      <c r="I41" s="7" t="s">
        <v>292</v>
      </c>
    </row>
    <row r="42" spans="1:10" ht="28" x14ac:dyDescent="0.2">
      <c r="A42" s="9" t="s">
        <v>289</v>
      </c>
      <c r="B42" s="9" t="s">
        <v>293</v>
      </c>
      <c r="C42" s="9" t="s">
        <v>294</v>
      </c>
      <c r="D42" s="9" t="s">
        <v>295</v>
      </c>
      <c r="E42" s="9" t="s">
        <v>11</v>
      </c>
      <c r="F42" s="9" t="s">
        <v>12</v>
      </c>
      <c r="G42" s="9"/>
      <c r="H42" s="8"/>
      <c r="I42" s="7" t="s">
        <v>296</v>
      </c>
    </row>
    <row r="43" spans="1:10" ht="28" x14ac:dyDescent="0.2">
      <c r="A43" s="9" t="s">
        <v>289</v>
      </c>
      <c r="B43" s="9" t="s">
        <v>297</v>
      </c>
      <c r="C43" s="9" t="s">
        <v>298</v>
      </c>
      <c r="D43" s="9" t="s">
        <v>295</v>
      </c>
      <c r="E43" s="9" t="s">
        <v>11</v>
      </c>
      <c r="F43" s="9" t="s">
        <v>12</v>
      </c>
      <c r="G43" s="9" t="s">
        <v>299</v>
      </c>
      <c r="H43" s="8"/>
      <c r="I43" s="7" t="s">
        <v>300</v>
      </c>
    </row>
    <row r="44" spans="1:10" ht="28" x14ac:dyDescent="0.2">
      <c r="A44" s="9" t="s">
        <v>289</v>
      </c>
      <c r="B44" s="9" t="s">
        <v>301</v>
      </c>
      <c r="C44" s="9" t="s">
        <v>302</v>
      </c>
      <c r="D44" s="9" t="s">
        <v>62</v>
      </c>
      <c r="E44" s="9" t="s">
        <v>17</v>
      </c>
      <c r="F44" s="9" t="s">
        <v>12</v>
      </c>
      <c r="G44" s="9"/>
      <c r="H44" s="8"/>
      <c r="I44" s="7" t="s">
        <v>303</v>
      </c>
    </row>
    <row r="45" spans="1:10" ht="28" x14ac:dyDescent="0.2">
      <c r="A45" s="4" t="s">
        <v>304</v>
      </c>
      <c r="B45" s="4" t="s">
        <v>305</v>
      </c>
      <c r="C45" s="4" t="s">
        <v>306</v>
      </c>
      <c r="D45" s="4" t="s">
        <v>62</v>
      </c>
      <c r="E45" s="4" t="s">
        <v>17</v>
      </c>
      <c r="F45" s="4" t="s">
        <v>62</v>
      </c>
      <c r="G45" s="4"/>
      <c r="H45" s="8" t="s">
        <v>307</v>
      </c>
      <c r="I45" s="7" t="s">
        <v>308</v>
      </c>
      <c r="J45" s="17" t="s">
        <v>323</v>
      </c>
    </row>
    <row r="46" spans="1:10" ht="28" x14ac:dyDescent="0.2">
      <c r="A46" s="4" t="s">
        <v>304</v>
      </c>
      <c r="B46" s="4" t="s">
        <v>309</v>
      </c>
      <c r="C46" s="4" t="s">
        <v>310</v>
      </c>
      <c r="D46" s="4" t="s">
        <v>62</v>
      </c>
      <c r="E46" s="4" t="s">
        <v>17</v>
      </c>
      <c r="F46" s="4" t="s">
        <v>12</v>
      </c>
      <c r="G46" s="4"/>
      <c r="H46" s="8"/>
      <c r="I46" s="7" t="s">
        <v>311</v>
      </c>
    </row>
    <row r="49" spans="1:10" ht="177" customHeight="1" x14ac:dyDescent="0.2">
      <c r="A49" s="16" t="s">
        <v>312</v>
      </c>
      <c r="B49" s="16"/>
      <c r="C49" s="16"/>
      <c r="D49" s="16"/>
      <c r="E49" s="16"/>
      <c r="F49" s="16"/>
      <c r="G49" s="16"/>
      <c r="H49" s="16"/>
      <c r="I49" s="16"/>
      <c r="J49" s="16"/>
    </row>
  </sheetData>
  <autoFilter ref="A1:I46" xr:uid="{00000000-0009-0000-0000-000001000000}"/>
  <mergeCells count="1">
    <mergeCell ref="A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 skill routing</vt:lpstr>
      <vt:lpstr>Matt Pocock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Roethel</cp:lastModifiedBy>
  <dcterms:created xsi:type="dcterms:W3CDTF">2026-07-21T14:34:32Z</dcterms:created>
  <dcterms:modified xsi:type="dcterms:W3CDTF">2026-08-02T18:30:59Z</dcterms:modified>
</cp:coreProperties>
</file>